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repos\pruning\"/>
    </mc:Choice>
  </mc:AlternateContent>
  <xr:revisionPtr revIDLastSave="0" documentId="13_ncr:1_{9DAAFA33-B762-4F6A-8527-573F98577FF5}" xr6:coauthVersionLast="47" xr6:coauthVersionMax="47" xr10:uidLastSave="{00000000-0000-0000-0000-000000000000}"/>
  <bookViews>
    <workbookView xWindow="3420" yWindow="3420" windowWidth="21600" windowHeight="11385" activeTab="1" xr2:uid="{225371EF-7645-4D08-B46A-53291CFE7D7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9" i="1" l="1"/>
  <c r="AE29" i="1"/>
  <c r="AD29" i="1"/>
  <c r="AC29" i="1"/>
  <c r="AB29" i="1"/>
  <c r="AA29" i="1"/>
  <c r="AF27" i="1"/>
  <c r="AE27" i="1"/>
  <c r="AD27" i="1"/>
  <c r="AC27" i="1"/>
  <c r="AB27" i="1"/>
  <c r="AA27" i="1"/>
  <c r="AF25" i="1"/>
  <c r="AE25" i="1"/>
  <c r="AD25" i="1"/>
  <c r="AC25" i="1"/>
  <c r="AB25" i="1"/>
  <c r="AA25" i="1"/>
  <c r="AF23" i="1"/>
  <c r="AE23" i="1"/>
  <c r="AD23" i="1"/>
  <c r="AC23" i="1"/>
  <c r="AB23" i="1"/>
  <c r="AA23" i="1"/>
  <c r="AF21" i="1"/>
  <c r="AE21" i="1"/>
  <c r="AD21" i="1"/>
  <c r="AC21" i="1"/>
  <c r="AB21" i="1"/>
  <c r="AA21" i="1"/>
  <c r="AF19" i="1"/>
  <c r="AE19" i="1"/>
  <c r="AD19" i="1"/>
  <c r="AC19" i="1"/>
  <c r="AB19" i="1"/>
  <c r="AA19" i="1"/>
  <c r="AF17" i="1"/>
  <c r="AE17" i="1"/>
  <c r="AD17" i="1"/>
  <c r="AC17" i="1"/>
  <c r="AB17" i="1"/>
  <c r="AA17" i="1"/>
  <c r="AF15" i="1"/>
  <c r="AE15" i="1"/>
  <c r="AD15" i="1"/>
  <c r="AC15" i="1"/>
  <c r="AB15" i="1"/>
  <c r="AA15" i="1"/>
  <c r="AF13" i="1"/>
  <c r="AE13" i="1"/>
  <c r="AD13" i="1"/>
  <c r="AC13" i="1"/>
  <c r="AB13" i="1"/>
  <c r="AA13" i="1"/>
  <c r="AF11" i="1"/>
  <c r="AE11" i="1"/>
  <c r="AD11" i="1"/>
  <c r="AC11" i="1"/>
  <c r="AB11" i="1"/>
  <c r="AA11" i="1"/>
  <c r="AF9" i="1"/>
  <c r="AE9" i="1"/>
  <c r="AD9" i="1"/>
  <c r="AC9" i="1"/>
  <c r="AB9" i="1"/>
  <c r="AA9" i="1"/>
  <c r="AF7" i="1"/>
  <c r="AE7" i="1"/>
  <c r="AD7" i="1"/>
  <c r="AC7" i="1"/>
  <c r="AB7" i="1"/>
  <c r="AA7" i="1"/>
  <c r="AF5" i="1"/>
  <c r="AE5" i="1"/>
  <c r="AD5" i="1"/>
  <c r="AC5" i="1"/>
  <c r="AB5" i="1"/>
  <c r="AA5" i="1"/>
  <c r="AF3" i="1"/>
  <c r="AE3" i="1"/>
  <c r="AD3" i="1"/>
  <c r="AC3" i="1"/>
  <c r="AB3" i="1"/>
  <c r="AA3" i="1"/>
</calcChain>
</file>

<file path=xl/sharedStrings.xml><?xml version="1.0" encoding="utf-8"?>
<sst xmlns="http://schemas.openxmlformats.org/spreadsheetml/2006/main" count="42" uniqueCount="28">
  <si>
    <t>Pruning Cycle</t>
  </si>
  <si>
    <t>Mean Auroc</t>
  </si>
  <si>
    <t>Weighted Auroc</t>
  </si>
  <si>
    <t>Atelectasis</t>
  </si>
  <si>
    <t>Cardiomegaly</t>
  </si>
  <si>
    <t>Effusion</t>
  </si>
  <si>
    <t>Infiltration</t>
  </si>
  <si>
    <t>Mass</t>
  </si>
  <si>
    <t>Nodule</t>
  </si>
  <si>
    <t>Pneumonia</t>
  </si>
  <si>
    <t>Pneumothorax</t>
  </si>
  <si>
    <t>Consolidation</t>
  </si>
  <si>
    <t>Edema</t>
  </si>
  <si>
    <t>Emphysema</t>
  </si>
  <si>
    <t>Fibrosis</t>
  </si>
  <si>
    <t>Pleural_Thickening</t>
  </si>
  <si>
    <t>Hernia</t>
  </si>
  <si>
    <t>Confusion Matrices</t>
  </si>
  <si>
    <t>tp</t>
  </si>
  <si>
    <t>tn</t>
  </si>
  <si>
    <t>fn</t>
  </si>
  <si>
    <t>fp</t>
  </si>
  <si>
    <t>Error rate</t>
  </si>
  <si>
    <t>Accuracy</t>
  </si>
  <si>
    <t>Sensitivity</t>
  </si>
  <si>
    <t>Specificity</t>
  </si>
  <si>
    <t>Precision</t>
  </si>
  <si>
    <t>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</si>
</sst>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&amp; Weighted AUROC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 AUROC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0.77206283807754505</c:v>
                </c:pt>
                <c:pt idx="1">
                  <c:v>0.73785710334777799</c:v>
                </c:pt>
                <c:pt idx="2">
                  <c:v>0.74036926031112604</c:v>
                </c:pt>
                <c:pt idx="3">
                  <c:v>0.73524802923202504</c:v>
                </c:pt>
                <c:pt idx="4">
                  <c:v>0.75724118947982699</c:v>
                </c:pt>
                <c:pt idx="5">
                  <c:v>0.73105704784393299</c:v>
                </c:pt>
                <c:pt idx="6">
                  <c:v>0.73524802923202504</c:v>
                </c:pt>
                <c:pt idx="7">
                  <c:v>0.75637918710708596</c:v>
                </c:pt>
                <c:pt idx="8">
                  <c:v>0.74713271856307895</c:v>
                </c:pt>
                <c:pt idx="9">
                  <c:v>0.74713271856307895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B1-4600-BBAD-A4F39F1F755B}"/>
            </c:ext>
          </c:extLst>
        </c:ser>
        <c:ser>
          <c:idx val="1"/>
          <c:order val="1"/>
          <c:tx>
            <c:v>Weighted AUROC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0.75290811061859098</c:v>
                </c:pt>
                <c:pt idx="1">
                  <c:v>0.72340625524520796</c:v>
                </c:pt>
                <c:pt idx="2">
                  <c:v>0.72393876314163197</c:v>
                </c:pt>
                <c:pt idx="3">
                  <c:v>0.72252535820007302</c:v>
                </c:pt>
                <c:pt idx="4">
                  <c:v>0.74504959583282404</c:v>
                </c:pt>
                <c:pt idx="5">
                  <c:v>0.72412884235382002</c:v>
                </c:pt>
                <c:pt idx="6">
                  <c:v>0.72252535820007302</c:v>
                </c:pt>
                <c:pt idx="7">
                  <c:v>0.74536663293838501</c:v>
                </c:pt>
                <c:pt idx="8">
                  <c:v>0.73601889610290505</c:v>
                </c:pt>
                <c:pt idx="9">
                  <c:v>0.73601889610290505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B1-4600-BBAD-A4F39F1F7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431792"/>
        <c:axId val="578430152"/>
      </c:scatterChart>
      <c:valAx>
        <c:axId val="57843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Pruning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30152"/>
        <c:crosses val="autoZero"/>
        <c:crossBetween val="midCat"/>
      </c:valAx>
      <c:valAx>
        <c:axId val="57843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3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4DC961-EAE1-4468-BC38-169277108A5A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3A1B7-0AA6-4008-B595-ACC2E1EFBA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B78E-8076-4607-A402-A1FB443720E1}">
  <dimension ref="A2:AF31"/>
  <sheetViews>
    <sheetView tabSelected="1" topLeftCell="I1" zoomScale="77" workbookViewId="0">
      <selection activeCell="AA3" sqref="AA3"/>
    </sheetView>
  </sheetViews>
  <sheetFormatPr defaultRowHeight="15" x14ac:dyDescent="0.25"/>
  <cols>
    <col min="23" max="23" width="18.140625" bestFit="1" customWidth="1"/>
    <col min="27" max="28" width="10" bestFit="1" customWidth="1"/>
  </cols>
  <sheetData>
    <row r="2" spans="1:3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X2" t="s">
        <v>17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</row>
    <row r="3" spans="1:32" x14ac:dyDescent="0.25">
      <c r="A3">
        <v>1</v>
      </c>
      <c r="B3">
        <v>0.77206283807754505</v>
      </c>
      <c r="C3">
        <v>0.75290811061859098</v>
      </c>
      <c r="D3">
        <v>0.76191055774688698</v>
      </c>
      <c r="E3">
        <v>0.82681745290756203</v>
      </c>
      <c r="F3">
        <v>0.85973429679870605</v>
      </c>
      <c r="G3">
        <v>0.67424887418746904</v>
      </c>
      <c r="H3">
        <v>0.72699391841888406</v>
      </c>
      <c r="I3">
        <v>0.68478906154632502</v>
      </c>
      <c r="J3">
        <v>0.723843693733215</v>
      </c>
      <c r="K3">
        <v>0.76985663175582797</v>
      </c>
      <c r="L3">
        <v>0.79735457897186202</v>
      </c>
      <c r="M3">
        <v>0.88375174999237005</v>
      </c>
      <c r="N3">
        <v>0.77105367183685303</v>
      </c>
      <c r="O3">
        <v>0.74204939603805498</v>
      </c>
      <c r="P3">
        <v>0.71031808853149403</v>
      </c>
      <c r="Q3">
        <v>0.87615728378295898</v>
      </c>
      <c r="T3" t="s">
        <v>19</v>
      </c>
      <c r="U3" t="s">
        <v>21</v>
      </c>
      <c r="W3" t="s">
        <v>3</v>
      </c>
      <c r="X3">
        <v>11045</v>
      </c>
      <c r="Y3">
        <v>0</v>
      </c>
      <c r="AA3" s="1">
        <f>($Y3+$X4)/($X3+$Y4+$Y3+$X4)</f>
        <v>0.11163838172605163</v>
      </c>
      <c r="AB3" s="1">
        <f>($X3+$Y4)/($X3+$X4+$Y3+$Y4)</f>
        <v>0.88836161827394833</v>
      </c>
      <c r="AC3" s="1">
        <f>$Y4/($Y4+$X4)</f>
        <v>0</v>
      </c>
      <c r="AD3" s="1">
        <f>$X3/($X3+$Y3)</f>
        <v>1</v>
      </c>
      <c r="AE3" s="1">
        <f>IF($Y3+$Y4 = 0, 0,$Y4/($Y3+$Y4))</f>
        <v>0</v>
      </c>
      <c r="AF3" s="2">
        <f>$Y3/($X3+$Y3)</f>
        <v>0</v>
      </c>
    </row>
    <row r="4" spans="1:32" x14ac:dyDescent="0.25">
      <c r="A4">
        <v>2</v>
      </c>
      <c r="B4">
        <v>0.73785710334777799</v>
      </c>
      <c r="C4">
        <v>0.72340625524520796</v>
      </c>
      <c r="D4">
        <v>0.75096309185027998</v>
      </c>
      <c r="E4">
        <v>0.78378063440322798</v>
      </c>
      <c r="F4">
        <v>0.84194433689117398</v>
      </c>
      <c r="G4">
        <v>0.65857952833175604</v>
      </c>
      <c r="H4">
        <v>0.63722121715545599</v>
      </c>
      <c r="I4">
        <v>0.59344249963760298</v>
      </c>
      <c r="J4">
        <v>0.71226418018340998</v>
      </c>
      <c r="K4">
        <v>0.746576428413391</v>
      </c>
      <c r="L4">
        <v>0.78102719783782903</v>
      </c>
      <c r="M4">
        <v>0.84596890211105302</v>
      </c>
      <c r="N4">
        <v>0.73669338226318304</v>
      </c>
      <c r="O4">
        <v>0.74853819608688299</v>
      </c>
      <c r="P4">
        <v>0.68531370162963801</v>
      </c>
      <c r="Q4">
        <v>0.80768537521362305</v>
      </c>
      <c r="T4" t="s">
        <v>20</v>
      </c>
      <c r="U4" t="s">
        <v>18</v>
      </c>
      <c r="X4">
        <v>1388</v>
      </c>
      <c r="Y4">
        <v>0</v>
      </c>
      <c r="AA4" s="1"/>
      <c r="AB4" s="1"/>
      <c r="AC4" s="1"/>
      <c r="AD4" s="1"/>
      <c r="AE4" s="1"/>
      <c r="AF4" s="2"/>
    </row>
    <row r="5" spans="1:32" x14ac:dyDescent="0.25">
      <c r="A5">
        <v>3</v>
      </c>
      <c r="B5">
        <v>0.74036926031112604</v>
      </c>
      <c r="C5">
        <v>0.72393876314163197</v>
      </c>
      <c r="D5">
        <v>0.74744808673858598</v>
      </c>
      <c r="E5">
        <v>0.82968270778655995</v>
      </c>
      <c r="F5">
        <v>0.82044768333435003</v>
      </c>
      <c r="G5">
        <v>0.65666967630386297</v>
      </c>
      <c r="H5">
        <v>0.68313920497894198</v>
      </c>
      <c r="I5">
        <v>0.60699236392974798</v>
      </c>
      <c r="J5">
        <v>0.70257246494293202</v>
      </c>
      <c r="K5">
        <v>0.74910998344421298</v>
      </c>
      <c r="L5">
        <v>0.77169203758239702</v>
      </c>
      <c r="M5">
        <v>0.85588133335113503</v>
      </c>
      <c r="N5">
        <v>0.72529530525207497</v>
      </c>
      <c r="O5">
        <v>0.71616733074188199</v>
      </c>
      <c r="P5">
        <v>0.69330799579620295</v>
      </c>
      <c r="Q5">
        <v>0.80676341056823697</v>
      </c>
      <c r="W5" t="s">
        <v>4</v>
      </c>
      <c r="X5">
        <v>12131</v>
      </c>
      <c r="Y5">
        <v>0</v>
      </c>
      <c r="AA5" s="1">
        <f t="shared" ref="AA5:AA30" si="0">($Y5+$X6)/($X5+$Y6+$Y5+$X6)</f>
        <v>2.4290195447599132E-2</v>
      </c>
      <c r="AB5" s="1">
        <f t="shared" ref="AB5:AB30" si="1">($X5+$Y6)/($X5+$X6+$Y5+$Y6)</f>
        <v>0.97570980455240086</v>
      </c>
      <c r="AC5" s="1">
        <f t="shared" ref="AC5:AC30" si="2">$Y6/($Y6+$X6)</f>
        <v>0</v>
      </c>
      <c r="AD5" s="1">
        <f t="shared" ref="AD5:AD31" si="3">$X5/($X5+$Y5)</f>
        <v>1</v>
      </c>
      <c r="AE5" s="1">
        <f t="shared" ref="AE5:AE31" si="4">IF($Y5+$Y6 = 0, 0,$Y6/($Y5+$Y6))</f>
        <v>0</v>
      </c>
      <c r="AF5" s="2">
        <f t="shared" ref="AF5:AF32" si="5">$Y5/($X5+$Y5)</f>
        <v>0</v>
      </c>
    </row>
    <row r="6" spans="1:32" x14ac:dyDescent="0.25">
      <c r="A6">
        <v>4</v>
      </c>
      <c r="B6">
        <v>0.73524802923202504</v>
      </c>
      <c r="C6">
        <v>0.72252535820007302</v>
      </c>
      <c r="D6">
        <v>0.738985836505889</v>
      </c>
      <c r="E6">
        <v>0.77323901653289795</v>
      </c>
      <c r="F6">
        <v>0.83111870288848799</v>
      </c>
      <c r="G6">
        <v>0.65852171182632402</v>
      </c>
      <c r="H6">
        <v>0.65458106994628895</v>
      </c>
      <c r="I6">
        <v>0.62270629405975297</v>
      </c>
      <c r="J6">
        <v>0.70107996463775601</v>
      </c>
      <c r="K6">
        <v>0.747713923454284</v>
      </c>
      <c r="L6">
        <v>0.77982318401336603</v>
      </c>
      <c r="M6">
        <v>0.85568070411682096</v>
      </c>
      <c r="N6">
        <v>0.72900599241256703</v>
      </c>
      <c r="O6">
        <v>0.72581028938293402</v>
      </c>
      <c r="P6">
        <v>0.68465417623519897</v>
      </c>
      <c r="Q6">
        <v>0.79055124521255404</v>
      </c>
      <c r="X6">
        <v>302</v>
      </c>
      <c r="Y6">
        <v>0</v>
      </c>
      <c r="AA6" s="1"/>
      <c r="AB6" s="1"/>
      <c r="AC6" s="1"/>
      <c r="AD6" s="1"/>
      <c r="AE6" s="1"/>
      <c r="AF6" s="2"/>
    </row>
    <row r="7" spans="1:32" x14ac:dyDescent="0.25">
      <c r="A7">
        <v>5</v>
      </c>
      <c r="B7">
        <v>0.75724118947982699</v>
      </c>
      <c r="C7">
        <v>0.74504959583282404</v>
      </c>
      <c r="D7">
        <v>0.76522600650787298</v>
      </c>
      <c r="E7">
        <v>0.81787455081939697</v>
      </c>
      <c r="F7">
        <v>0.85507106781005804</v>
      </c>
      <c r="G7">
        <v>0.675617575645446</v>
      </c>
      <c r="H7">
        <v>0.66858339309692305</v>
      </c>
      <c r="I7">
        <v>0.66467648744583097</v>
      </c>
      <c r="J7">
        <v>0.72920906543731601</v>
      </c>
      <c r="K7">
        <v>0.76412010192871005</v>
      </c>
      <c r="L7">
        <v>0.78897970914840698</v>
      </c>
      <c r="M7">
        <v>0.87003576755523604</v>
      </c>
      <c r="N7">
        <v>0.75831711292266801</v>
      </c>
      <c r="O7">
        <v>0.74809575080871504</v>
      </c>
      <c r="P7">
        <v>0.70511507987975997</v>
      </c>
      <c r="Q7">
        <v>0.79045450687408403</v>
      </c>
      <c r="W7" t="s">
        <v>5</v>
      </c>
      <c r="X7">
        <v>10681</v>
      </c>
      <c r="Y7">
        <v>252</v>
      </c>
      <c r="AA7" s="1">
        <f t="shared" si="0"/>
        <v>0.11413174615941446</v>
      </c>
      <c r="AB7" s="1">
        <f t="shared" si="1"/>
        <v>0.88586825384058554</v>
      </c>
      <c r="AC7" s="1">
        <f t="shared" si="2"/>
        <v>0.222</v>
      </c>
      <c r="AD7" s="1">
        <f t="shared" si="3"/>
        <v>0.97695051678404832</v>
      </c>
      <c r="AE7" s="1">
        <f t="shared" si="4"/>
        <v>0.56923076923076921</v>
      </c>
      <c r="AF7" s="2">
        <f t="shared" si="5"/>
        <v>2.3049483215951707E-2</v>
      </c>
    </row>
    <row r="8" spans="1:32" x14ac:dyDescent="0.25">
      <c r="A8">
        <v>6</v>
      </c>
      <c r="B8">
        <v>0.73105704784393299</v>
      </c>
      <c r="C8">
        <v>0.72412884235382002</v>
      </c>
      <c r="D8">
        <v>0.74924564361572199</v>
      </c>
      <c r="E8">
        <v>0.79344993829727095</v>
      </c>
      <c r="F8">
        <v>0.82488197088241499</v>
      </c>
      <c r="G8">
        <v>0.66616868972778298</v>
      </c>
      <c r="H8">
        <v>0.67161870002746504</v>
      </c>
      <c r="I8">
        <v>0.62010914087295499</v>
      </c>
      <c r="J8">
        <v>0.65747177600860596</v>
      </c>
      <c r="K8">
        <v>0.734940946102142</v>
      </c>
      <c r="L8">
        <v>0.77867686748504605</v>
      </c>
      <c r="M8">
        <v>0.84801578521728505</v>
      </c>
      <c r="N8">
        <v>0.72839421033859197</v>
      </c>
      <c r="O8">
        <v>0.71966886520385698</v>
      </c>
      <c r="P8">
        <v>0.67511296272277799</v>
      </c>
      <c r="Q8">
        <v>0.76704382896423295</v>
      </c>
      <c r="X8">
        <v>1167</v>
      </c>
      <c r="Y8">
        <v>333</v>
      </c>
      <c r="AA8" s="1"/>
      <c r="AB8" s="1"/>
      <c r="AC8" s="1"/>
      <c r="AD8" s="1"/>
      <c r="AE8" s="1"/>
      <c r="AF8" s="2"/>
    </row>
    <row r="9" spans="1:32" x14ac:dyDescent="0.25">
      <c r="A9">
        <v>7</v>
      </c>
      <c r="B9">
        <v>0.73524802923202504</v>
      </c>
      <c r="C9">
        <v>0.72252535820007302</v>
      </c>
      <c r="D9">
        <v>0.738985836505889</v>
      </c>
      <c r="E9">
        <v>0.77323901653289795</v>
      </c>
      <c r="F9">
        <v>0.83111870288848799</v>
      </c>
      <c r="G9">
        <v>0.65852171182632402</v>
      </c>
      <c r="H9">
        <v>0.65458106994628895</v>
      </c>
      <c r="I9">
        <v>0.62270629405975297</v>
      </c>
      <c r="J9">
        <v>0.70107996463775601</v>
      </c>
      <c r="K9">
        <v>0.747713923454284</v>
      </c>
      <c r="L9">
        <v>0.77982318401336603</v>
      </c>
      <c r="M9">
        <v>0.85568070411682096</v>
      </c>
      <c r="N9">
        <v>0.72900599241256703</v>
      </c>
      <c r="O9">
        <v>0.72581028938293402</v>
      </c>
      <c r="P9">
        <v>0.68465417623519897</v>
      </c>
      <c r="Q9">
        <v>0.79055124521255404</v>
      </c>
      <c r="W9" t="s">
        <v>6</v>
      </c>
      <c r="X9">
        <v>10200</v>
      </c>
      <c r="Y9">
        <v>9</v>
      </c>
      <c r="AA9" s="1">
        <f t="shared" si="0"/>
        <v>0.17928094586986246</v>
      </c>
      <c r="AB9" s="1">
        <f t="shared" si="1"/>
        <v>0.82071905413013757</v>
      </c>
      <c r="AC9" s="1">
        <f t="shared" si="2"/>
        <v>1.7985611510791368E-3</v>
      </c>
      <c r="AD9" s="1">
        <f t="shared" si="3"/>
        <v>0.9991184249191889</v>
      </c>
      <c r="AE9" s="1">
        <f t="shared" si="4"/>
        <v>0.30769230769230771</v>
      </c>
      <c r="AF9" s="2">
        <f t="shared" si="5"/>
        <v>8.8157508081104904E-4</v>
      </c>
    </row>
    <row r="10" spans="1:32" x14ac:dyDescent="0.25">
      <c r="A10">
        <v>8</v>
      </c>
      <c r="B10">
        <v>0.75637918710708596</v>
      </c>
      <c r="C10">
        <v>0.74536663293838501</v>
      </c>
      <c r="D10">
        <v>0.75948655605316095</v>
      </c>
      <c r="E10">
        <v>0.78643685579299905</v>
      </c>
      <c r="F10">
        <v>0.85173749923705999</v>
      </c>
      <c r="G10">
        <v>0.673681199550628</v>
      </c>
      <c r="H10">
        <v>0.70852267742156905</v>
      </c>
      <c r="I10">
        <v>0.66484826803207397</v>
      </c>
      <c r="J10">
        <v>0.71314102411270097</v>
      </c>
      <c r="K10">
        <v>0.78306233882903997</v>
      </c>
      <c r="L10">
        <v>0.78725242614746005</v>
      </c>
      <c r="M10">
        <v>0.86549103260040205</v>
      </c>
      <c r="N10">
        <v>0.75173658132553101</v>
      </c>
      <c r="O10">
        <v>0.74661862850189198</v>
      </c>
      <c r="P10">
        <v>0.70203793048858598</v>
      </c>
      <c r="Q10">
        <v>0.795254707336425</v>
      </c>
      <c r="X10">
        <v>2220</v>
      </c>
      <c r="Y10">
        <v>4</v>
      </c>
      <c r="AA10" s="1"/>
      <c r="AB10" s="1"/>
      <c r="AC10" s="1"/>
      <c r="AD10" s="1"/>
      <c r="AE10" s="1"/>
      <c r="AF10" s="2"/>
    </row>
    <row r="11" spans="1:32" x14ac:dyDescent="0.25">
      <c r="A11">
        <v>9</v>
      </c>
      <c r="B11">
        <v>0.74713271856307895</v>
      </c>
      <c r="C11">
        <v>0.73601889610290505</v>
      </c>
      <c r="D11">
        <v>0.75121045112609797</v>
      </c>
      <c r="E11">
        <v>0.82253909111022905</v>
      </c>
      <c r="F11">
        <v>0.82971674203872603</v>
      </c>
      <c r="G11">
        <v>0.66809803247451705</v>
      </c>
      <c r="H11">
        <v>0.68839800357818604</v>
      </c>
      <c r="I11">
        <v>0.65432965755462602</v>
      </c>
      <c r="J11">
        <v>0.713692426681518</v>
      </c>
      <c r="K11">
        <v>0.76876246929168701</v>
      </c>
      <c r="L11">
        <v>0.78694605827331499</v>
      </c>
      <c r="M11">
        <v>0.85853505134582497</v>
      </c>
      <c r="N11">
        <v>0.74287569522857599</v>
      </c>
      <c r="O11">
        <v>0.74530196189880304</v>
      </c>
      <c r="P11">
        <v>0.69040644168853704</v>
      </c>
      <c r="Q11">
        <v>0.73904573917388905</v>
      </c>
      <c r="W11" t="s">
        <v>7</v>
      </c>
      <c r="X11">
        <v>11783</v>
      </c>
      <c r="Y11">
        <v>0</v>
      </c>
      <c r="AA11" s="1">
        <f t="shared" si="0"/>
        <v>5.2280221989865677E-2</v>
      </c>
      <c r="AB11" s="1">
        <f t="shared" si="1"/>
        <v>0.94771977801013429</v>
      </c>
      <c r="AC11" s="1">
        <f t="shared" si="2"/>
        <v>0</v>
      </c>
      <c r="AD11" s="1">
        <f t="shared" si="3"/>
        <v>1</v>
      </c>
      <c r="AE11" s="1">
        <f t="shared" si="4"/>
        <v>0</v>
      </c>
      <c r="AF11" s="2">
        <f t="shared" si="5"/>
        <v>0</v>
      </c>
    </row>
    <row r="12" spans="1:32" x14ac:dyDescent="0.25">
      <c r="A12">
        <v>10</v>
      </c>
      <c r="B12">
        <v>0.74713271856307895</v>
      </c>
      <c r="C12">
        <v>0.73601889610290505</v>
      </c>
      <c r="D12">
        <v>0.75121045112609797</v>
      </c>
      <c r="E12">
        <v>0.82253909111022905</v>
      </c>
      <c r="F12">
        <v>0.82971674203872603</v>
      </c>
      <c r="G12">
        <v>0.66809803247451705</v>
      </c>
      <c r="H12">
        <v>0.68839800357818604</v>
      </c>
      <c r="I12">
        <v>0.65432965755462602</v>
      </c>
      <c r="J12">
        <v>0.713692426681518</v>
      </c>
      <c r="K12">
        <v>0.76876246929168701</v>
      </c>
      <c r="L12">
        <v>0.78694605827331499</v>
      </c>
      <c r="M12">
        <v>0.85853505134582497</v>
      </c>
      <c r="N12">
        <v>0.74287569522857599</v>
      </c>
      <c r="O12">
        <v>0.74530196189880304</v>
      </c>
      <c r="P12">
        <v>0.69040644168853704</v>
      </c>
      <c r="Q12">
        <v>0.73904573917388905</v>
      </c>
      <c r="X12">
        <v>650</v>
      </c>
      <c r="Y12">
        <v>0</v>
      </c>
      <c r="AA12" s="1"/>
      <c r="AB12" s="1"/>
      <c r="AC12" s="1"/>
      <c r="AD12" s="1"/>
      <c r="AE12" s="1"/>
      <c r="AF12" s="2"/>
    </row>
    <row r="13" spans="1:32" x14ac:dyDescent="0.25">
      <c r="W13" t="s">
        <v>8</v>
      </c>
      <c r="X13">
        <v>11652</v>
      </c>
      <c r="Y13">
        <v>0</v>
      </c>
      <c r="AA13" s="1">
        <f t="shared" si="0"/>
        <v>6.281669749859245E-2</v>
      </c>
      <c r="AB13" s="1">
        <f t="shared" si="1"/>
        <v>0.93718330250140758</v>
      </c>
      <c r="AC13" s="1">
        <f t="shared" si="2"/>
        <v>0</v>
      </c>
      <c r="AD13" s="1">
        <f t="shared" si="3"/>
        <v>1</v>
      </c>
      <c r="AE13" s="1">
        <f t="shared" si="4"/>
        <v>0</v>
      </c>
      <c r="AF13" s="2">
        <f t="shared" si="5"/>
        <v>0</v>
      </c>
    </row>
    <row r="14" spans="1:32" x14ac:dyDescent="0.25">
      <c r="X14">
        <v>781</v>
      </c>
      <c r="Y14">
        <v>0</v>
      </c>
      <c r="AA14" s="1"/>
      <c r="AB14" s="1"/>
      <c r="AC14" s="1"/>
      <c r="AD14" s="1"/>
      <c r="AE14" s="1"/>
      <c r="AF14" s="2"/>
    </row>
    <row r="15" spans="1:32" x14ac:dyDescent="0.25">
      <c r="W15" t="s">
        <v>9</v>
      </c>
      <c r="X15">
        <v>12290</v>
      </c>
      <c r="Y15">
        <v>0</v>
      </c>
      <c r="AA15" s="1">
        <f t="shared" si="0"/>
        <v>1.150164883777045E-2</v>
      </c>
      <c r="AB15" s="1">
        <f t="shared" si="1"/>
        <v>0.9884983511622295</v>
      </c>
      <c r="AC15" s="1">
        <f t="shared" si="2"/>
        <v>0</v>
      </c>
      <c r="AD15" s="1">
        <f t="shared" si="3"/>
        <v>1</v>
      </c>
      <c r="AE15" s="1">
        <f t="shared" si="4"/>
        <v>0</v>
      </c>
      <c r="AF15" s="2">
        <f t="shared" si="5"/>
        <v>0</v>
      </c>
    </row>
    <row r="16" spans="1:32" x14ac:dyDescent="0.25">
      <c r="X16">
        <v>143</v>
      </c>
      <c r="Y16">
        <v>0</v>
      </c>
      <c r="AA16" s="1"/>
      <c r="AB16" s="1"/>
      <c r="AC16" s="1"/>
      <c r="AD16" s="1"/>
      <c r="AE16" s="1"/>
      <c r="AF16" s="2"/>
    </row>
    <row r="17" spans="23:32" x14ac:dyDescent="0.25">
      <c r="W17" t="s">
        <v>10</v>
      </c>
      <c r="X17">
        <v>11846</v>
      </c>
      <c r="Y17">
        <v>0</v>
      </c>
      <c r="AA17" s="1">
        <f t="shared" si="0"/>
        <v>4.7213062012386391E-2</v>
      </c>
      <c r="AB17" s="1">
        <f t="shared" si="1"/>
        <v>0.9527869379876136</v>
      </c>
      <c r="AC17" s="1">
        <f t="shared" si="2"/>
        <v>0</v>
      </c>
      <c r="AD17" s="1">
        <f t="shared" si="3"/>
        <v>1</v>
      </c>
      <c r="AE17" s="1">
        <f t="shared" si="4"/>
        <v>0</v>
      </c>
      <c r="AF17" s="2">
        <f t="shared" si="5"/>
        <v>0</v>
      </c>
    </row>
    <row r="18" spans="23:32" x14ac:dyDescent="0.25">
      <c r="X18">
        <v>587</v>
      </c>
      <c r="Y18">
        <v>0</v>
      </c>
      <c r="AA18" s="1"/>
      <c r="AB18" s="1"/>
      <c r="AC18" s="1"/>
      <c r="AD18" s="1"/>
      <c r="AE18" s="1"/>
      <c r="AF18" s="2"/>
    </row>
    <row r="19" spans="23:32" x14ac:dyDescent="0.25">
      <c r="W19" t="s">
        <v>11</v>
      </c>
      <c r="X19">
        <v>11912</v>
      </c>
      <c r="Y19">
        <v>0</v>
      </c>
      <c r="AA19" s="1">
        <f t="shared" si="0"/>
        <v>4.190460870264618E-2</v>
      </c>
      <c r="AB19" s="1">
        <f t="shared" si="1"/>
        <v>0.95809539129735377</v>
      </c>
      <c r="AC19" s="1">
        <f t="shared" si="2"/>
        <v>0</v>
      </c>
      <c r="AD19" s="1">
        <f t="shared" si="3"/>
        <v>1</v>
      </c>
      <c r="AE19" s="1">
        <f t="shared" si="4"/>
        <v>0</v>
      </c>
      <c r="AF19" s="2">
        <f t="shared" si="5"/>
        <v>0</v>
      </c>
    </row>
    <row r="20" spans="23:32" x14ac:dyDescent="0.25">
      <c r="X20">
        <v>521</v>
      </c>
      <c r="Y20">
        <v>0</v>
      </c>
      <c r="AA20" s="1"/>
      <c r="AB20" s="1"/>
      <c r="AC20" s="1"/>
      <c r="AD20" s="1"/>
      <c r="AE20" s="1"/>
      <c r="AF20" s="2"/>
    </row>
    <row r="21" spans="23:32" x14ac:dyDescent="0.25">
      <c r="W21" t="s">
        <v>12</v>
      </c>
      <c r="X21">
        <v>12179</v>
      </c>
      <c r="Y21">
        <v>0</v>
      </c>
      <c r="AA21" s="1">
        <f t="shared" si="0"/>
        <v>2.0429502131424436E-2</v>
      </c>
      <c r="AB21" s="1">
        <f t="shared" si="1"/>
        <v>0.97957049786857553</v>
      </c>
      <c r="AC21" s="1">
        <f t="shared" si="2"/>
        <v>0</v>
      </c>
      <c r="AD21" s="1">
        <f t="shared" si="3"/>
        <v>1</v>
      </c>
      <c r="AE21" s="1">
        <f t="shared" si="4"/>
        <v>0</v>
      </c>
      <c r="AF21" s="2">
        <f t="shared" si="5"/>
        <v>0</v>
      </c>
    </row>
    <row r="22" spans="23:32" x14ac:dyDescent="0.25">
      <c r="X22">
        <v>254</v>
      </c>
      <c r="Y22">
        <v>0</v>
      </c>
      <c r="AA22" s="1"/>
      <c r="AB22" s="1"/>
      <c r="AC22" s="1"/>
      <c r="AD22" s="1"/>
      <c r="AE22" s="1"/>
      <c r="AF22" s="2"/>
    </row>
    <row r="23" spans="23:32" x14ac:dyDescent="0.25">
      <c r="W23" t="s">
        <v>13</v>
      </c>
      <c r="X23">
        <v>12174</v>
      </c>
      <c r="Y23">
        <v>0</v>
      </c>
      <c r="AA23" s="1">
        <f t="shared" si="0"/>
        <v>2.0831657685192632E-2</v>
      </c>
      <c r="AB23" s="1">
        <f t="shared" si="1"/>
        <v>0.97916834231480732</v>
      </c>
      <c r="AC23" s="1">
        <f t="shared" si="2"/>
        <v>0</v>
      </c>
      <c r="AD23" s="1">
        <f t="shared" si="3"/>
        <v>1</v>
      </c>
      <c r="AE23" s="1">
        <f t="shared" si="4"/>
        <v>0</v>
      </c>
      <c r="AF23" s="2">
        <f t="shared" si="5"/>
        <v>0</v>
      </c>
    </row>
    <row r="24" spans="23:32" x14ac:dyDescent="0.25">
      <c r="X24">
        <v>259</v>
      </c>
      <c r="Y24">
        <v>0</v>
      </c>
      <c r="AA24" s="1"/>
      <c r="AB24" s="1"/>
      <c r="AC24" s="1"/>
      <c r="AD24" s="1"/>
      <c r="AE24" s="1"/>
      <c r="AF24" s="2"/>
    </row>
    <row r="25" spans="23:32" x14ac:dyDescent="0.25">
      <c r="W25" t="s">
        <v>14</v>
      </c>
      <c r="X25">
        <v>12243</v>
      </c>
      <c r="Y25">
        <v>0</v>
      </c>
      <c r="AA25" s="1">
        <f t="shared" si="0"/>
        <v>1.5281911043191506E-2</v>
      </c>
      <c r="AB25" s="1">
        <f t="shared" si="1"/>
        <v>0.98471808895680846</v>
      </c>
      <c r="AC25" s="1">
        <f t="shared" si="2"/>
        <v>0</v>
      </c>
      <c r="AD25" s="1">
        <f t="shared" si="3"/>
        <v>1</v>
      </c>
      <c r="AE25" s="1">
        <f t="shared" si="4"/>
        <v>0</v>
      </c>
      <c r="AF25" s="2">
        <f t="shared" si="5"/>
        <v>0</v>
      </c>
    </row>
    <row r="26" spans="23:32" x14ac:dyDescent="0.25">
      <c r="X26">
        <v>190</v>
      </c>
      <c r="Y26">
        <v>0</v>
      </c>
      <c r="AA26" s="1"/>
      <c r="AB26" s="1"/>
      <c r="AC26" s="1"/>
      <c r="AD26" s="1"/>
      <c r="AE26" s="1"/>
      <c r="AF26" s="2"/>
    </row>
    <row r="27" spans="23:32" x14ac:dyDescent="0.25">
      <c r="W27" t="s">
        <v>15</v>
      </c>
      <c r="X27">
        <v>12011</v>
      </c>
      <c r="Y27">
        <v>0</v>
      </c>
      <c r="AA27" s="1">
        <f t="shared" si="0"/>
        <v>3.3941928738035872E-2</v>
      </c>
      <c r="AB27" s="1">
        <f t="shared" si="1"/>
        <v>0.96605807126196408</v>
      </c>
      <c r="AC27" s="1">
        <f t="shared" si="2"/>
        <v>0</v>
      </c>
      <c r="AD27" s="1">
        <f t="shared" si="3"/>
        <v>1</v>
      </c>
      <c r="AE27" s="1">
        <f t="shared" si="4"/>
        <v>0</v>
      </c>
      <c r="AF27" s="2">
        <f t="shared" si="5"/>
        <v>0</v>
      </c>
    </row>
    <row r="28" spans="23:32" x14ac:dyDescent="0.25">
      <c r="X28">
        <v>422</v>
      </c>
      <c r="Y28">
        <v>0</v>
      </c>
      <c r="AA28" s="1"/>
      <c r="AB28" s="1"/>
      <c r="AC28" s="1"/>
      <c r="AD28" s="1"/>
      <c r="AE28" s="1"/>
      <c r="AF28" s="2"/>
    </row>
    <row r="29" spans="23:32" x14ac:dyDescent="0.25">
      <c r="W29" t="s">
        <v>16</v>
      </c>
      <c r="X29">
        <v>12408</v>
      </c>
      <c r="Y29">
        <v>0</v>
      </c>
      <c r="AA29" s="1">
        <f t="shared" si="0"/>
        <v>2.0107777688409879E-3</v>
      </c>
      <c r="AB29" s="1">
        <f t="shared" si="1"/>
        <v>0.99798922223115905</v>
      </c>
      <c r="AC29" s="1">
        <f t="shared" si="2"/>
        <v>0</v>
      </c>
      <c r="AD29" s="1">
        <f t="shared" si="3"/>
        <v>1</v>
      </c>
      <c r="AE29" s="1">
        <f t="shared" si="4"/>
        <v>0</v>
      </c>
      <c r="AF29" s="2">
        <f t="shared" si="5"/>
        <v>0</v>
      </c>
    </row>
    <row r="30" spans="23:32" x14ac:dyDescent="0.25">
      <c r="X30">
        <v>25</v>
      </c>
      <c r="Y30">
        <v>0</v>
      </c>
      <c r="AA30" s="1"/>
      <c r="AB30" s="1"/>
      <c r="AC30" s="1"/>
      <c r="AD30" s="1"/>
      <c r="AE30" s="1"/>
      <c r="AF30" s="2"/>
    </row>
    <row r="31" spans="23:32" x14ac:dyDescent="0.25">
      <c r="AF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Mejía</dc:creator>
  <cp:lastModifiedBy>Miguel Mejía</cp:lastModifiedBy>
  <dcterms:created xsi:type="dcterms:W3CDTF">2021-08-24T23:14:06Z</dcterms:created>
  <dcterms:modified xsi:type="dcterms:W3CDTF">2021-09-22T01:06:25Z</dcterms:modified>
</cp:coreProperties>
</file>